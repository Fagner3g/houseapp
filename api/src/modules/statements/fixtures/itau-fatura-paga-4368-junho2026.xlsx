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6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<sst xmlns="http://schemas.openxmlformats.org/spreadsheetml/2006/main">
  <si>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</si>
  <si>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</si>
  <si>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Fagner Egidio Gomes</t>
  </si>
  <si>
    <t>Agência</t>
  </si>
  <si>
    <t>9188</t>
  </si>
  <si>
    <t>Conta</t>
  </si>
  <si>
    <t>24364-7</t>
  </si>
  <si>
    <t>Fatura Paga - Junho/2026</t>
  </si>
  <si>
    <t>Cartão</t>
  </si>
  <si>
    <t>Valor</t>
  </si>
  <si>
    <t>Vencimento</t>
  </si>
  <si>
    <t>Latam Pass Itau Platinum Visa - final 4368</t>
  </si>
  <si>
    <t xml:space="preserve">Você pagou R$ 655,84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</si>
  <si>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</si>
  <si>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</si>
  <si>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</si>
  <si>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</si>
  <si>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</si>
  <si>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</si>
  <si>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</si>
  <si>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Efetuado</t>
  </si>
  <si>
    <t>Titular</t>
  </si>
  <si>
    <t>Físico</t>
  </si>
  <si>
    <t>****2115</t>
  </si>
  <si>
    <t xml:space="preserve">Laser Rosa        </t>
  </si>
  <si>
    <t>Parcela 4 de 4</t>
  </si>
  <si>
    <t>****4368</t>
  </si>
  <si>
    <t xml:space="preserve">Mineirinhotech    </t>
  </si>
  <si>
    <t>Parcela 5 de 10</t>
  </si>
  <si>
    <t>Wallet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</si>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</sst>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655.84</v>
      </c>
      <c r="H10" s="1"/>
      <c r="I10" s="7">
        <v>46190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46160</v>
      </c>
      <c r="C15" s="10" t="s">
        <v>20</v>
      </c>
      <c r="D15" s="11"/>
      <c r="E15" s="12">
        <v>-717.83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46086</v>
      </c>
      <c r="C16" s="14" t="s">
        <v>24</v>
      </c>
      <c r="D16" s="15" t="s">
        <v>25</v>
      </c>
      <c r="E16" s="16">
        <v>99.75</v>
      </c>
      <c r="F16" s="15"/>
      <c r="G16" s="15" t="s">
        <v>21</v>
      </c>
      <c r="H16" s="15" t="s">
        <v>2</v>
      </c>
      <c r="I16" s="15" t="s">
        <v>22</v>
      </c>
      <c r="J16" s="15" t="s">
        <v>26</v>
      </c>
    </row>
    <row r="17" ht="18" customHeight="1">
      <c r="B17" s="17">
        <v>46039</v>
      </c>
      <c r="C17" s="18" t="s">
        <v>27</v>
      </c>
      <c r="D17" s="1" t="s">
        <v>28</v>
      </c>
      <c r="E17" s="6">
        <v>556.09</v>
      </c>
      <c r="F17" s="1"/>
      <c r="G17" s="1" t="s">
        <v>21</v>
      </c>
      <c r="H17" s="1" t="s">
        <v>2</v>
      </c>
      <c r="I17" s="1" t="s">
        <v>29</v>
      </c>
      <c r="J17" s="1" t="s">
        <v>26</v>
      </c>
    </row>
    <row r="18"/>
    <row r="19" ht="22" customHeight="1">
      <c r="D19" s="19" t="s">
        <v>30</v>
      </c>
      <c r="E19" s="20">
        <f>=SUBTOTAL(9, E16:E17)</f>
      </c>
    </row>
    <row r="20"/>
    <row r="21"/>
    <row r="22"/>
    <row r="23">
      <c r="B23" s="21" t="s">
        <v>31</v>
      </c>
    </row>
    <row r="24" ht="130" customHeight="1">
      <c r="B24" s="22" t="s">
        <v>32</v>
      </c>
      <c r="C24" s="22"/>
      <c r="D24" s="22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24:D24"/>
  </mergeCells>
  <conditionalFormatting sqref="B15:J17">
    <cfRule type="expression" dxfId="0" priority="1">
      <formula>=MOD(SUBTOTAL(103,$E$15:$E15),2)=1</formula>
    </cfRule>
  </conditionalFormatting>
  <drawing r:id="rId-drawing-1"/>
</worksheet>
</file>